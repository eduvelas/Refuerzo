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ownloads\"/>
    </mc:Choice>
  </mc:AlternateContent>
  <bookViews>
    <workbookView xWindow="0" yWindow="0" windowWidth="17280" windowHeight="9105" tabRatio="845" activeTab="5"/>
  </bookViews>
  <sheets>
    <sheet name="Funcion SI-1" sheetId="4" r:id="rId1"/>
    <sheet name="Funcion SI-2" sheetId="1" r:id="rId2"/>
    <sheet name="Funcion SI-3" sheetId="2" r:id="rId3"/>
    <sheet name="Funcion SI-4" sheetId="3" r:id="rId4"/>
    <sheet name="Funcion SI-5" sheetId="5" r:id="rId5"/>
    <sheet name="Funcion SI-SI1" sheetId="7" r:id="rId6"/>
  </sheets>
  <calcPr calcId="162913"/>
</workbook>
</file>

<file path=xl/calcChain.xml><?xml version="1.0" encoding="utf-8"?>
<calcChain xmlns="http://schemas.openxmlformats.org/spreadsheetml/2006/main">
  <c r="C8" i="7" l="1"/>
  <c r="C9" i="7"/>
  <c r="C10" i="7"/>
  <c r="C11" i="7"/>
  <c r="C7" i="7"/>
  <c r="B16" i="5"/>
  <c r="B17" i="5"/>
  <c r="B18" i="5"/>
  <c r="B19" i="5"/>
  <c r="B20" i="5"/>
  <c r="B21" i="5"/>
  <c r="B22" i="5"/>
  <c r="B23" i="5"/>
  <c r="B24" i="5"/>
  <c r="B7" i="5"/>
  <c r="B8" i="5"/>
  <c r="B9" i="5"/>
  <c r="B10" i="5"/>
  <c r="B11" i="5"/>
  <c r="B12" i="5"/>
  <c r="B13" i="5"/>
  <c r="B14" i="5"/>
  <c r="B15" i="5"/>
  <c r="B6" i="5"/>
  <c r="B9" i="3"/>
  <c r="B10" i="3"/>
  <c r="B11" i="3"/>
  <c r="B12" i="3"/>
  <c r="B13" i="3"/>
  <c r="B14" i="3"/>
  <c r="B15" i="3"/>
  <c r="B16" i="3"/>
  <c r="B17" i="3"/>
  <c r="B18" i="3"/>
  <c r="B19" i="3"/>
  <c r="B8" i="3"/>
  <c r="B8" i="2"/>
  <c r="B9" i="2"/>
  <c r="B10" i="2"/>
  <c r="B11" i="2"/>
  <c r="B12" i="2"/>
  <c r="B13" i="2"/>
  <c r="B14" i="2"/>
  <c r="B15" i="2"/>
  <c r="B16" i="2"/>
  <c r="B17" i="2"/>
  <c r="B18" i="2"/>
  <c r="B7" i="2"/>
  <c r="B8" i="1"/>
  <c r="B9" i="1"/>
  <c r="B10" i="1"/>
  <c r="B11" i="1"/>
  <c r="B12" i="1"/>
  <c r="B7" i="1"/>
  <c r="B7" i="4"/>
  <c r="B8" i="4"/>
  <c r="B9" i="4"/>
  <c r="B10" i="4"/>
  <c r="B11" i="4"/>
  <c r="B6" i="4"/>
</calcChain>
</file>

<file path=xl/comments1.xml><?xml version="1.0" encoding="utf-8"?>
<comments xmlns="http://schemas.openxmlformats.org/spreadsheetml/2006/main">
  <authors>
    <author/>
  </authors>
  <commentList>
    <comment ref="A6" authorId="0" shapeId="0">
      <text>
        <r>
          <rPr>
            <b/>
            <i/>
            <sz val="10"/>
            <color indexed="81"/>
            <rFont val="Calibri"/>
          </rPr>
          <t>======</t>
        </r>
        <r>
          <rPr>
            <sz val="10"/>
            <color indexed="81"/>
            <rFont val="Calibri"/>
          </rPr>
          <t xml:space="preserve">
ID#AAAABs9llPc
</t>
        </r>
        <r>
          <rPr>
            <b/>
            <sz val="10"/>
            <color indexed="81"/>
            <rFont val="Calibri"/>
          </rPr>
          <t>Eje#1</t>
        </r>
        <r>
          <rPr>
            <sz val="10"/>
            <color indexed="81"/>
            <rFont val="Calibri"/>
          </rPr>
          <t xml:space="preserve">    (2018-03-07 19:39:57)
</t>
        </r>
        <r>
          <rPr>
            <sz val="10"/>
            <color indexed="81"/>
            <rFont val="Calibri"/>
          </rPr>
          <t>Colocar una lista de las literales A y B que aparecen en columna D del titulo CLASE.</t>
        </r>
      </text>
    </comment>
    <comment ref="B6" authorId="0" shapeId="0">
      <text>
        <r>
          <rPr>
            <b/>
            <i/>
            <sz val="10"/>
            <color indexed="81"/>
            <rFont val="Calibri"/>
          </rPr>
          <t>======</t>
        </r>
        <r>
          <rPr>
            <sz val="10"/>
            <color indexed="81"/>
            <rFont val="Calibri"/>
          </rPr>
          <t xml:space="preserve">
ID#AAAABs9llPg
</t>
        </r>
        <r>
          <rPr>
            <b/>
            <sz val="10"/>
            <color indexed="81"/>
            <rFont val="Calibri"/>
          </rPr>
          <t>Eje#1</t>
        </r>
        <r>
          <rPr>
            <sz val="10"/>
            <color indexed="81"/>
            <rFont val="Calibri"/>
          </rPr>
          <t xml:space="preserve">    (2018-03-07 19:39:57)
</t>
        </r>
        <r>
          <rPr>
            <sz val="10"/>
            <color indexed="81"/>
            <rFont val="Calibri"/>
          </rPr>
          <t>Colocar la función SI para obtener el resultado de acuerdo a la clase.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A7" authorId="0" shapeId="0">
      <text>
        <r>
          <rPr>
            <b/>
            <i/>
            <sz val="10"/>
            <color indexed="81"/>
            <rFont val="Calibri"/>
          </rPr>
          <t>======</t>
        </r>
        <r>
          <rPr>
            <sz val="10"/>
            <color indexed="81"/>
            <rFont val="Calibri"/>
          </rPr>
          <t xml:space="preserve">
ID#AAAABs9llPk
</t>
        </r>
        <r>
          <rPr>
            <b/>
            <sz val="10"/>
            <color indexed="81"/>
            <rFont val="Calibri"/>
          </rPr>
          <t>Eje#1</t>
        </r>
        <r>
          <rPr>
            <sz val="10"/>
            <color indexed="81"/>
            <rFont val="Calibri"/>
          </rPr>
          <t xml:space="preserve">    (2018-03-07 19:39:57)
</t>
        </r>
        <r>
          <rPr>
            <sz val="10"/>
            <color indexed="81"/>
            <rFont val="Calibri"/>
          </rPr>
          <t>Colocar una lista de las literales A, B y C que aparecen en columna D del titulo CLASE.</t>
        </r>
      </text>
    </comment>
    <comment ref="B7" authorId="0" shapeId="0">
      <text>
        <r>
          <rPr>
            <b/>
            <i/>
            <sz val="10"/>
            <color indexed="81"/>
            <rFont val="Calibri"/>
          </rPr>
          <t>======</t>
        </r>
        <r>
          <rPr>
            <sz val="10"/>
            <color indexed="81"/>
            <rFont val="Calibri"/>
          </rPr>
          <t xml:space="preserve">
ID#AAAABs9llPo
</t>
        </r>
        <r>
          <rPr>
            <b/>
            <sz val="10"/>
            <color indexed="81"/>
            <rFont val="Calibri"/>
          </rPr>
          <t>Eje#1</t>
        </r>
        <r>
          <rPr>
            <sz val="10"/>
            <color indexed="81"/>
            <rFont val="Calibri"/>
          </rPr>
          <t xml:space="preserve">    (2018-03-07 19:39:57)
</t>
        </r>
        <r>
          <rPr>
            <sz val="10"/>
            <color indexed="81"/>
            <rFont val="Calibri"/>
          </rPr>
          <t>Colocar la función SI para obtener el resultado de acuerdo a la clase.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A7" authorId="0" shapeId="0">
      <text>
        <r>
          <rPr>
            <b/>
            <i/>
            <sz val="10"/>
            <color indexed="81"/>
            <rFont val="Calibri"/>
          </rPr>
          <t>======</t>
        </r>
        <r>
          <rPr>
            <sz val="10"/>
            <color indexed="81"/>
            <rFont val="Calibri"/>
          </rPr>
          <t xml:space="preserve">
ID#AAAABs9llPs
</t>
        </r>
        <r>
          <rPr>
            <b/>
            <sz val="10"/>
            <color indexed="81"/>
            <rFont val="Calibri"/>
          </rPr>
          <t>Eje#1</t>
        </r>
        <r>
          <rPr>
            <sz val="10"/>
            <color indexed="81"/>
            <rFont val="Calibri"/>
          </rPr>
          <t xml:space="preserve">    (2018-03-07 19:39:57)
</t>
        </r>
        <r>
          <rPr>
            <sz val="10"/>
            <color indexed="81"/>
            <rFont val="Calibri"/>
          </rPr>
          <t>Colocar una lista de las literales A, B y C que aparecen en columna D del titulo CLASE.</t>
        </r>
      </text>
    </comment>
    <comment ref="B7" authorId="0" shapeId="0">
      <text>
        <r>
          <rPr>
            <b/>
            <i/>
            <sz val="10"/>
            <color indexed="81"/>
            <rFont val="Calibri"/>
          </rPr>
          <t>======</t>
        </r>
        <r>
          <rPr>
            <sz val="10"/>
            <color indexed="81"/>
            <rFont val="Calibri"/>
          </rPr>
          <t xml:space="preserve">
ID#AAAABs9llPw
</t>
        </r>
        <r>
          <rPr>
            <b/>
            <sz val="10"/>
            <color indexed="81"/>
            <rFont val="Calibri"/>
          </rPr>
          <t>Eje#1</t>
        </r>
        <r>
          <rPr>
            <sz val="10"/>
            <color indexed="81"/>
            <rFont val="Calibri"/>
          </rPr>
          <t xml:space="preserve">    (2018-03-07 19:39:57)
</t>
        </r>
        <r>
          <rPr>
            <sz val="10"/>
            <color indexed="81"/>
            <rFont val="Calibri"/>
          </rPr>
          <t>Colocar la función SI para obtener el resultado de acuerdo a la clase.</t>
        </r>
      </text>
    </comment>
  </commentList>
</comments>
</file>

<file path=xl/comments4.xml><?xml version="1.0" encoding="utf-8"?>
<comments xmlns="http://schemas.openxmlformats.org/spreadsheetml/2006/main">
  <authors>
    <author/>
  </authors>
  <commentList>
    <comment ref="A8" authorId="0" shapeId="0">
      <text>
        <r>
          <rPr>
            <b/>
            <i/>
            <sz val="10"/>
            <color indexed="81"/>
            <rFont val="Calibri"/>
          </rPr>
          <t>======</t>
        </r>
        <r>
          <rPr>
            <sz val="10"/>
            <color indexed="81"/>
            <rFont val="Calibri"/>
          </rPr>
          <t xml:space="preserve">
ID#AAAABs9llP0
</t>
        </r>
        <r>
          <rPr>
            <b/>
            <sz val="10"/>
            <color indexed="81"/>
            <rFont val="Calibri"/>
          </rPr>
          <t>Eje#1</t>
        </r>
        <r>
          <rPr>
            <sz val="10"/>
            <color indexed="81"/>
            <rFont val="Calibri"/>
          </rPr>
          <t xml:space="preserve">    (2018-03-07 19:39:58)
</t>
        </r>
        <r>
          <rPr>
            <sz val="10"/>
            <color indexed="81"/>
            <rFont val="Calibri"/>
          </rPr>
          <t>Colocar una lista de las literales A, B y C que aparecen en columna D del titulo CLASE.</t>
        </r>
      </text>
    </comment>
    <comment ref="B8" authorId="0" shapeId="0">
      <text>
        <r>
          <rPr>
            <b/>
            <i/>
            <sz val="10"/>
            <color indexed="81"/>
            <rFont val="Calibri"/>
          </rPr>
          <t>======</t>
        </r>
        <r>
          <rPr>
            <sz val="10"/>
            <color indexed="81"/>
            <rFont val="Calibri"/>
          </rPr>
          <t xml:space="preserve">
ID#AAAABs9llP4
</t>
        </r>
        <r>
          <rPr>
            <b/>
            <sz val="10"/>
            <color indexed="81"/>
            <rFont val="Calibri"/>
          </rPr>
          <t>Eje#1</t>
        </r>
        <r>
          <rPr>
            <sz val="10"/>
            <color indexed="81"/>
            <rFont val="Calibri"/>
          </rPr>
          <t xml:space="preserve">    (2018-03-07 19:39:58)
</t>
        </r>
        <r>
          <rPr>
            <sz val="10"/>
            <color indexed="81"/>
            <rFont val="Calibri"/>
          </rPr>
          <t>Colocar la función SI para obtener el resultado de acuerdo a la clase.</t>
        </r>
      </text>
    </comment>
  </commentList>
</comments>
</file>

<file path=xl/comments5.xml><?xml version="1.0" encoding="utf-8"?>
<comments xmlns="http://schemas.openxmlformats.org/spreadsheetml/2006/main">
  <authors>
    <author/>
  </authors>
  <commentList>
    <comment ref="B6" authorId="0" shapeId="0">
      <text>
        <r>
          <rPr>
            <b/>
            <i/>
            <sz val="10"/>
            <color indexed="81"/>
            <rFont val="Calibri"/>
          </rPr>
          <t>======</t>
        </r>
        <r>
          <rPr>
            <sz val="10"/>
            <color indexed="81"/>
            <rFont val="Calibri"/>
          </rPr>
          <t xml:space="preserve">
ID#AAAABs9llQA
</t>
        </r>
        <r>
          <rPr>
            <b/>
            <sz val="10"/>
            <color indexed="81"/>
            <rFont val="Calibri"/>
          </rPr>
          <t>Eje#1</t>
        </r>
        <r>
          <rPr>
            <sz val="10"/>
            <color indexed="81"/>
            <rFont val="Calibri"/>
          </rPr>
          <t xml:space="preserve">    (2018-03-07 19:39:58)
</t>
        </r>
        <r>
          <rPr>
            <sz val="10"/>
            <color indexed="81"/>
            <rFont val="Calibri"/>
          </rPr>
          <t>Colocar la función SI para obtener el resultado de acuerdo a la clase.</t>
        </r>
      </text>
    </comment>
  </commentList>
</comments>
</file>

<file path=xl/sharedStrings.xml><?xml version="1.0" encoding="utf-8"?>
<sst xmlns="http://schemas.openxmlformats.org/spreadsheetml/2006/main" count="127" uniqueCount="54">
  <si>
    <t>A</t>
  </si>
  <si>
    <t>B</t>
  </si>
  <si>
    <t>Equivalencia</t>
  </si>
  <si>
    <t>C</t>
  </si>
  <si>
    <t>Código</t>
  </si>
  <si>
    <t>País</t>
  </si>
  <si>
    <t>CO</t>
  </si>
  <si>
    <t>ES</t>
  </si>
  <si>
    <t>MX</t>
  </si>
  <si>
    <t>Colombia</t>
  </si>
  <si>
    <t>España</t>
  </si>
  <si>
    <t>México</t>
  </si>
  <si>
    <t>PUNTEO</t>
  </si>
  <si>
    <t>CLASE</t>
  </si>
  <si>
    <t>GU</t>
  </si>
  <si>
    <t>Guatemala</t>
  </si>
  <si>
    <t>NI</t>
  </si>
  <si>
    <t>Nicaragua</t>
  </si>
  <si>
    <t>SA</t>
  </si>
  <si>
    <t>Salvador</t>
  </si>
  <si>
    <t>Costa Rica</t>
  </si>
  <si>
    <t>CR</t>
  </si>
  <si>
    <t>HO</t>
  </si>
  <si>
    <t>Honduras</t>
  </si>
  <si>
    <t>ME</t>
  </si>
  <si>
    <t>CH</t>
  </si>
  <si>
    <t>Chile</t>
  </si>
  <si>
    <t>BR</t>
  </si>
  <si>
    <t>Brasil</t>
  </si>
  <si>
    <t>BO</t>
  </si>
  <si>
    <t>Bolivia</t>
  </si>
  <si>
    <t>EC</t>
  </si>
  <si>
    <t>Ecuador</t>
  </si>
  <si>
    <t>PR</t>
  </si>
  <si>
    <t>Perú</t>
  </si>
  <si>
    <t>VE</t>
  </si>
  <si>
    <t>Venezuela</t>
  </si>
  <si>
    <t>UR</t>
  </si>
  <si>
    <t>Uruguay</t>
  </si>
  <si>
    <t>Guyana</t>
  </si>
  <si>
    <t>GY</t>
  </si>
  <si>
    <t xml:space="preserve">Nombre </t>
  </si>
  <si>
    <t>Prueba Lógica</t>
  </si>
  <si>
    <t>APROBADO</t>
  </si>
  <si>
    <t>NO APROBADO</t>
  </si>
  <si>
    <t>Mario</t>
  </si>
  <si>
    <t>Ronal</t>
  </si>
  <si>
    <t>Alejandra</t>
  </si>
  <si>
    <t>Diana</t>
  </si>
  <si>
    <t>Samuel</t>
  </si>
  <si>
    <t>&gt;=60</t>
  </si>
  <si>
    <t>&lt;60</t>
  </si>
  <si>
    <t>Nota</t>
  </si>
  <si>
    <t>NOTAS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</si>
</sst>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0"/>
      <name val="Times New Roman"/>
      <family val="1"/>
    </font>
    <font>
      <b/>
      <i/>
      <sz val="10"/>
      <color indexed="81"/>
      <name val="Calibri"/>
    </font>
    <font>
      <sz val="10"/>
      <color indexed="81"/>
      <name val="Calibri"/>
    </font>
    <font>
      <b/>
      <sz val="10"/>
      <color indexed="81"/>
      <name val="Calibri"/>
    </font>
  </fonts>
  <fills count="1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0" fillId="0" borderId="0" xfId="0"/>
    <xf numFmtId="0" fontId="0" fillId="9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1" xfId="0" applyBorder="1"/>
    <xf numFmtId="0" fontId="2" fillId="10" borderId="1" xfId="0" applyFont="1" applyFill="1" applyBorder="1" applyAlignment="1">
      <alignment horizontal="center"/>
    </xf>
    <xf numFmtId="0" fontId="2" fillId="10" borderId="1" xfId="0" applyFont="1" applyFill="1" applyBorder="1"/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4" fillId="0" borderId="0" xfId="0" applyFont="1"/>
    <xf numFmtId="0" fontId="5" fillId="14" borderId="1" xfId="0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6" fillId="17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123825</xdr:colOff>
      <xdr:row>50</xdr:row>
      <xdr:rowOff>0</xdr:rowOff>
    </xdr:to>
    <xdr:sp macro="" textlink="">
      <xdr:nvSpPr>
        <xdr:cNvPr id="1027" name="Rectangle 3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123825</xdr:colOff>
      <xdr:row>50</xdr:row>
      <xdr:rowOff>0</xdr:rowOff>
    </xdr:to>
    <xdr:sp macro="" textlink="">
      <xdr:nvSpPr>
        <xdr:cNvPr id="2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123825</xdr:colOff>
      <xdr:row>50</xdr:row>
      <xdr:rowOff>0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123825</xdr:colOff>
      <xdr:row>50</xdr:row>
      <xdr:rowOff>0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123825</xdr:colOff>
      <xdr:row>50</xdr:row>
      <xdr:rowOff>0</xdr:rowOff>
    </xdr:to>
    <xdr:sp macro="" textlink="">
      <xdr:nvSpPr>
        <xdr:cNvPr id="5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123825</xdr:colOff>
      <xdr:row>50</xdr:row>
      <xdr:rowOff>0</xdr:rowOff>
    </xdr:to>
    <xdr:sp macro="" textlink="">
      <xdr:nvSpPr>
        <xdr:cNvPr id="2051" name="Rectangle 3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123825</xdr:colOff>
      <xdr:row>50</xdr:row>
      <xdr:rowOff>0</xdr:rowOff>
    </xdr:to>
    <xdr:sp macro="" textlink="">
      <xdr:nvSpPr>
        <xdr:cNvPr id="2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123825</xdr:colOff>
      <xdr:row>50</xdr:row>
      <xdr:rowOff>0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123825</xdr:colOff>
      <xdr:row>50</xdr:row>
      <xdr:rowOff>0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123825</xdr:colOff>
      <xdr:row>50</xdr:row>
      <xdr:rowOff>0</xdr:rowOff>
    </xdr:to>
    <xdr:sp macro="" textlink="">
      <xdr:nvSpPr>
        <xdr:cNvPr id="5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381000</xdr:colOff>
      <xdr:row>50</xdr:row>
      <xdr:rowOff>0</xdr:rowOff>
    </xdr:to>
    <xdr:sp macro="" textlink="">
      <xdr:nvSpPr>
        <xdr:cNvPr id="3075" name="Rectangle 3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381000</xdr:colOff>
      <xdr:row>50</xdr:row>
      <xdr:rowOff>0</xdr:rowOff>
    </xdr:to>
    <xdr:sp macro="" textlink="">
      <xdr:nvSpPr>
        <xdr:cNvPr id="2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381000</xdr:colOff>
      <xdr:row>50</xdr:row>
      <xdr:rowOff>0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381000</xdr:colOff>
      <xdr:row>50</xdr:row>
      <xdr:rowOff>0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381000</xdr:colOff>
      <xdr:row>50</xdr:row>
      <xdr:rowOff>0</xdr:rowOff>
    </xdr:to>
    <xdr:sp macro="" textlink="">
      <xdr:nvSpPr>
        <xdr:cNvPr id="5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381000</xdr:colOff>
      <xdr:row>50</xdr:row>
      <xdr:rowOff>0</xdr:rowOff>
    </xdr:to>
    <xdr:sp macro="" textlink="">
      <xdr:nvSpPr>
        <xdr:cNvPr id="4099" name="Rectangle 3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381000</xdr:colOff>
      <xdr:row>50</xdr:row>
      <xdr:rowOff>0</xdr:rowOff>
    </xdr:to>
    <xdr:sp macro="" textlink="">
      <xdr:nvSpPr>
        <xdr:cNvPr id="2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381000</xdr:colOff>
      <xdr:row>50</xdr:row>
      <xdr:rowOff>0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381000</xdr:colOff>
      <xdr:row>50</xdr:row>
      <xdr:rowOff>0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381000</xdr:colOff>
      <xdr:row>50</xdr:row>
      <xdr:rowOff>0</xdr:rowOff>
    </xdr:to>
    <xdr:sp macro="" textlink="">
      <xdr:nvSpPr>
        <xdr:cNvPr id="5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381000</xdr:colOff>
      <xdr:row>50</xdr:row>
      <xdr:rowOff>0</xdr:rowOff>
    </xdr:to>
    <xdr:sp macro="" textlink="">
      <xdr:nvSpPr>
        <xdr:cNvPr id="5123" name="Rectangle 3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381000</xdr:colOff>
      <xdr:row>50</xdr:row>
      <xdr:rowOff>0</xdr:rowOff>
    </xdr:to>
    <xdr:sp macro="" textlink="">
      <xdr:nvSpPr>
        <xdr:cNvPr id="2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381000</xdr:colOff>
      <xdr:row>50</xdr:row>
      <xdr:rowOff>0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381000</xdr:colOff>
      <xdr:row>50</xdr:row>
      <xdr:rowOff>0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381000</xdr:colOff>
      <xdr:row>50</xdr:row>
      <xdr:rowOff>0</xdr:rowOff>
    </xdr:to>
    <xdr:sp macro="" textlink="">
      <xdr:nvSpPr>
        <xdr:cNvPr id="5" name="AutoShape 3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238125</xdr:colOff>
      <xdr:row>47</xdr:row>
      <xdr:rowOff>123825</xdr:rowOff>
    </xdr:to>
    <xdr:sp macro="" textlink="">
      <xdr:nvSpPr>
        <xdr:cNvPr id="6145" name="Rectangle 1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E11"/>
  <sheetViews>
    <sheetView showGridLines="0" zoomScaleNormal="100" workbookViewId="0">
      <selection activeCell="B11" sqref="B11"/>
    </sheetView>
  </sheetViews>
  <sheetFormatPr baseColWidth="10" defaultColWidth="11.42578125" defaultRowHeight="15" x14ac:dyDescent="0.25"/>
  <cols>
    <col min="1" max="1" width="11.42578125" style="10"/>
    <col min="2" max="2" width="12.140625" style="10" bestFit="1" customWidth="1"/>
    <col min="3" max="3" width="11.42578125" style="10"/>
    <col min="4" max="4" width="6.28515625" style="10" bestFit="1" customWidth="1"/>
    <col min="5" max="5" width="8.28515625" style="10" bestFit="1" customWidth="1"/>
    <col min="6" max="16384" width="11.42578125" style="10"/>
  </cols>
  <sheetData>
    <row r="2" spans="1:5" x14ac:dyDescent="0.25">
      <c r="D2" s="20" t="s">
        <v>13</v>
      </c>
      <c r="E2" s="20" t="s">
        <v>12</v>
      </c>
    </row>
    <row r="3" spans="1:5" x14ac:dyDescent="0.25">
      <c r="D3" s="17" t="s">
        <v>0</v>
      </c>
      <c r="E3" s="17">
        <v>100</v>
      </c>
    </row>
    <row r="4" spans="1:5" x14ac:dyDescent="0.25">
      <c r="D4" s="18" t="s">
        <v>1</v>
      </c>
      <c r="E4" s="18">
        <v>60</v>
      </c>
    </row>
    <row r="5" spans="1:5" x14ac:dyDescent="0.25">
      <c r="A5" s="15" t="s">
        <v>13</v>
      </c>
      <c r="B5" s="16" t="s">
        <v>2</v>
      </c>
    </row>
    <row r="6" spans="1:5" x14ac:dyDescent="0.25">
      <c r="A6" s="18" t="s">
        <v>0</v>
      </c>
      <c r="B6" s="17">
        <f>IF("A"=A6,100,IF("B"=A6,60))</f>
        <v>100</v>
      </c>
    </row>
    <row r="7" spans="1:5" x14ac:dyDescent="0.25">
      <c r="A7" s="18" t="s">
        <v>1</v>
      </c>
      <c r="B7" s="17">
        <f t="shared" ref="B7:B11" si="0">IF("A"=A7,100,IF("B"=A7,60))</f>
        <v>60</v>
      </c>
    </row>
    <row r="8" spans="1:5" x14ac:dyDescent="0.25">
      <c r="A8" s="18" t="s">
        <v>0</v>
      </c>
      <c r="B8" s="17">
        <f t="shared" si="0"/>
        <v>100</v>
      </c>
    </row>
    <row r="9" spans="1:5" x14ac:dyDescent="0.25">
      <c r="A9" s="18" t="s">
        <v>1</v>
      </c>
      <c r="B9" s="17">
        <f t="shared" si="0"/>
        <v>60</v>
      </c>
    </row>
    <row r="10" spans="1:5" x14ac:dyDescent="0.25">
      <c r="A10" s="18" t="s">
        <v>1</v>
      </c>
      <c r="B10" s="17">
        <f t="shared" si="0"/>
        <v>60</v>
      </c>
    </row>
    <row r="11" spans="1:5" x14ac:dyDescent="0.25">
      <c r="A11" s="18" t="s">
        <v>0</v>
      </c>
      <c r="B11" s="17">
        <f t="shared" si="0"/>
        <v>100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26"/>
  <sheetViews>
    <sheetView showGridLines="0" zoomScale="170" zoomScaleNormal="170" workbookViewId="0">
      <selection activeCell="B7" sqref="B7"/>
    </sheetView>
  </sheetViews>
  <sheetFormatPr baseColWidth="10" defaultRowHeight="15" x14ac:dyDescent="0.25"/>
  <cols>
    <col min="2" max="2" width="12.140625" bestFit="1" customWidth="1"/>
    <col min="4" max="4" width="6.28515625" bestFit="1" customWidth="1"/>
    <col min="5" max="5" width="8.28515625" bestFit="1" customWidth="1"/>
  </cols>
  <sheetData>
    <row r="1" spans="1:9" s="10" customFormat="1" x14ac:dyDescent="0.25"/>
    <row r="2" spans="1:9" s="10" customFormat="1" x14ac:dyDescent="0.25">
      <c r="D2" s="11" t="s">
        <v>13</v>
      </c>
      <c r="E2" s="11" t="s">
        <v>12</v>
      </c>
    </row>
    <row r="3" spans="1:9" s="10" customFormat="1" x14ac:dyDescent="0.25">
      <c r="D3" s="17" t="s">
        <v>0</v>
      </c>
      <c r="E3" s="17">
        <v>100</v>
      </c>
    </row>
    <row r="4" spans="1:9" s="10" customFormat="1" x14ac:dyDescent="0.25">
      <c r="D4" s="18" t="s">
        <v>1</v>
      </c>
      <c r="E4" s="18">
        <v>80</v>
      </c>
    </row>
    <row r="5" spans="1:9" s="10" customFormat="1" x14ac:dyDescent="0.25">
      <c r="D5" s="19" t="s">
        <v>3</v>
      </c>
      <c r="E5" s="19">
        <v>60</v>
      </c>
    </row>
    <row r="6" spans="1:9" x14ac:dyDescent="0.25">
      <c r="A6" s="11" t="s">
        <v>13</v>
      </c>
      <c r="B6" s="11" t="s">
        <v>2</v>
      </c>
    </row>
    <row r="7" spans="1:9" x14ac:dyDescent="0.25">
      <c r="A7" s="30" t="s">
        <v>0</v>
      </c>
      <c r="B7" s="14">
        <f>IF(A7="A",100,IF(A7="B",80,IF(A7="C",60)))</f>
        <v>100</v>
      </c>
    </row>
    <row r="8" spans="1:9" x14ac:dyDescent="0.25">
      <c r="A8" s="30" t="s">
        <v>1</v>
      </c>
      <c r="B8" s="14">
        <f t="shared" ref="B8:B12" si="0">IF(A8="A",100,IF(A8="B",80,IF(A8="C",60)))</f>
        <v>80</v>
      </c>
    </row>
    <row r="9" spans="1:9" x14ac:dyDescent="0.25">
      <c r="A9" s="30" t="s">
        <v>3</v>
      </c>
      <c r="B9" s="14">
        <f t="shared" si="0"/>
        <v>60</v>
      </c>
    </row>
    <row r="10" spans="1:9" x14ac:dyDescent="0.25">
      <c r="A10" s="30" t="s">
        <v>0</v>
      </c>
      <c r="B10" s="14">
        <f t="shared" si="0"/>
        <v>100</v>
      </c>
    </row>
    <row r="11" spans="1:9" x14ac:dyDescent="0.25">
      <c r="A11" s="30" t="s">
        <v>3</v>
      </c>
      <c r="B11" s="14">
        <f t="shared" si="0"/>
        <v>60</v>
      </c>
    </row>
    <row r="12" spans="1:9" x14ac:dyDescent="0.25">
      <c r="A12" s="30" t="s">
        <v>1</v>
      </c>
      <c r="B12" s="14">
        <f t="shared" si="0"/>
        <v>80</v>
      </c>
    </row>
    <row r="14" spans="1:9" x14ac:dyDescent="0.25">
      <c r="I14" s="10"/>
    </row>
    <row r="15" spans="1:9" x14ac:dyDescent="0.25">
      <c r="I15" s="10"/>
    </row>
    <row r="16" spans="1:9" x14ac:dyDescent="0.25">
      <c r="A16" s="10"/>
      <c r="I16" s="10"/>
    </row>
    <row r="17" spans="1:1" x14ac:dyDescent="0.25">
      <c r="A17" s="10"/>
    </row>
    <row r="18" spans="1:1" x14ac:dyDescent="0.25">
      <c r="A18" s="10"/>
    </row>
    <row r="19" spans="1:1" x14ac:dyDescent="0.25">
      <c r="A19" s="10"/>
    </row>
    <row r="20" spans="1:1" x14ac:dyDescent="0.25">
      <c r="A20" s="10"/>
    </row>
    <row r="21" spans="1:1" x14ac:dyDescent="0.25">
      <c r="A21" s="10"/>
    </row>
    <row r="22" spans="1:1" x14ac:dyDescent="0.25">
      <c r="A22" s="10"/>
    </row>
    <row r="23" spans="1:1" x14ac:dyDescent="0.25">
      <c r="A23" s="10"/>
    </row>
    <row r="24" spans="1:1" x14ac:dyDescent="0.25">
      <c r="A24" s="10"/>
    </row>
    <row r="25" spans="1:1" x14ac:dyDescent="0.25">
      <c r="A25" s="10"/>
    </row>
    <row r="26" spans="1:1" x14ac:dyDescent="0.25">
      <c r="A26" s="10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18"/>
  <sheetViews>
    <sheetView showGridLines="0" zoomScale="180" zoomScaleNormal="180" workbookViewId="0">
      <selection activeCell="B7" sqref="B7"/>
    </sheetView>
  </sheetViews>
  <sheetFormatPr baseColWidth="10" defaultRowHeight="15" x14ac:dyDescent="0.25"/>
  <cols>
    <col min="2" max="2" width="11.85546875" bestFit="1" customWidth="1"/>
  </cols>
  <sheetData>
    <row r="1" spans="1:5" s="10" customFormat="1" x14ac:dyDescent="0.25"/>
    <row r="2" spans="1:5" s="10" customFormat="1" x14ac:dyDescent="0.25">
      <c r="D2" s="21" t="s">
        <v>4</v>
      </c>
      <c r="E2" s="21" t="s">
        <v>5</v>
      </c>
    </row>
    <row r="3" spans="1:5" s="10" customFormat="1" x14ac:dyDescent="0.25">
      <c r="D3" s="12" t="s">
        <v>6</v>
      </c>
      <c r="E3" s="13" t="s">
        <v>9</v>
      </c>
    </row>
    <row r="4" spans="1:5" s="10" customFormat="1" x14ac:dyDescent="0.25">
      <c r="D4" s="12" t="s">
        <v>7</v>
      </c>
      <c r="E4" s="13" t="s">
        <v>10</v>
      </c>
    </row>
    <row r="5" spans="1:5" s="10" customFormat="1" x14ac:dyDescent="0.25">
      <c r="D5" s="12" t="s">
        <v>8</v>
      </c>
      <c r="E5" s="13" t="s">
        <v>11</v>
      </c>
    </row>
    <row r="6" spans="1:5" x14ac:dyDescent="0.25">
      <c r="A6" s="21" t="s">
        <v>4</v>
      </c>
      <c r="B6" s="21" t="s">
        <v>5</v>
      </c>
    </row>
    <row r="7" spans="1:5" x14ac:dyDescent="0.25">
      <c r="A7" s="30" t="s">
        <v>6</v>
      </c>
      <c r="B7" s="14" t="str">
        <f>IF(A7="CO","Colombia",IF(A7="ES","España",IF(A7="MX","México")))</f>
        <v>Colombia</v>
      </c>
    </row>
    <row r="8" spans="1:5" x14ac:dyDescent="0.25">
      <c r="A8" s="12" t="s">
        <v>7</v>
      </c>
      <c r="B8" s="14" t="str">
        <f t="shared" ref="B8:B18" si="0">IF(A8="CO","Colombia",IF(A8="ES","España",IF(A8="MX","México")))</f>
        <v>España</v>
      </c>
    </row>
    <row r="9" spans="1:5" x14ac:dyDescent="0.25">
      <c r="A9" s="12" t="s">
        <v>8</v>
      </c>
      <c r="B9" s="14" t="str">
        <f t="shared" si="0"/>
        <v>México</v>
      </c>
    </row>
    <row r="10" spans="1:5" x14ac:dyDescent="0.25">
      <c r="A10" s="30" t="s">
        <v>6</v>
      </c>
      <c r="B10" s="14" t="str">
        <f t="shared" si="0"/>
        <v>Colombia</v>
      </c>
    </row>
    <row r="11" spans="1:5" x14ac:dyDescent="0.25">
      <c r="A11" s="12" t="s">
        <v>7</v>
      </c>
      <c r="B11" s="14" t="str">
        <f t="shared" si="0"/>
        <v>España</v>
      </c>
    </row>
    <row r="12" spans="1:5" x14ac:dyDescent="0.25">
      <c r="A12" s="12" t="s">
        <v>8</v>
      </c>
      <c r="B12" s="14" t="str">
        <f t="shared" si="0"/>
        <v>México</v>
      </c>
    </row>
    <row r="13" spans="1:5" x14ac:dyDescent="0.25">
      <c r="A13" s="30" t="s">
        <v>6</v>
      </c>
      <c r="B13" s="14" t="str">
        <f t="shared" si="0"/>
        <v>Colombia</v>
      </c>
    </row>
    <row r="14" spans="1:5" x14ac:dyDescent="0.25">
      <c r="A14" s="12" t="s">
        <v>7</v>
      </c>
      <c r="B14" s="14" t="str">
        <f t="shared" si="0"/>
        <v>España</v>
      </c>
    </row>
    <row r="15" spans="1:5" x14ac:dyDescent="0.25">
      <c r="A15" s="12" t="s">
        <v>8</v>
      </c>
      <c r="B15" s="14" t="str">
        <f t="shared" si="0"/>
        <v>México</v>
      </c>
    </row>
    <row r="16" spans="1:5" x14ac:dyDescent="0.25">
      <c r="A16" s="30" t="s">
        <v>6</v>
      </c>
      <c r="B16" s="14" t="str">
        <f t="shared" si="0"/>
        <v>Colombia</v>
      </c>
    </row>
    <row r="17" spans="1:2" x14ac:dyDescent="0.25">
      <c r="A17" s="12" t="s">
        <v>7</v>
      </c>
      <c r="B17" s="14" t="str">
        <f t="shared" si="0"/>
        <v>España</v>
      </c>
    </row>
    <row r="18" spans="1:2" x14ac:dyDescent="0.25">
      <c r="A18" s="12" t="s">
        <v>8</v>
      </c>
      <c r="B18" s="14" t="str">
        <f t="shared" si="0"/>
        <v>México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19"/>
  <sheetViews>
    <sheetView showGridLines="0" zoomScale="140" zoomScaleNormal="140" workbookViewId="0">
      <selection activeCell="B8" sqref="B8"/>
    </sheetView>
  </sheetViews>
  <sheetFormatPr baseColWidth="10" defaultRowHeight="15" x14ac:dyDescent="0.25"/>
  <sheetData>
    <row r="1" spans="1:5" s="10" customFormat="1" x14ac:dyDescent="0.25"/>
    <row r="2" spans="1:5" s="10" customFormat="1" x14ac:dyDescent="0.25">
      <c r="D2" s="23" t="s">
        <v>4</v>
      </c>
      <c r="E2" s="23" t="s">
        <v>5</v>
      </c>
    </row>
    <row r="3" spans="1:5" s="10" customFormat="1" x14ac:dyDescent="0.25">
      <c r="D3" s="5" t="s">
        <v>27</v>
      </c>
      <c r="E3" s="3" t="s">
        <v>28</v>
      </c>
    </row>
    <row r="4" spans="1:5" s="10" customFormat="1" x14ac:dyDescent="0.25">
      <c r="D4" s="6" t="s">
        <v>29</v>
      </c>
      <c r="E4" s="4" t="s">
        <v>30</v>
      </c>
    </row>
    <row r="5" spans="1:5" s="10" customFormat="1" x14ac:dyDescent="0.25">
      <c r="D5" s="7" t="s">
        <v>31</v>
      </c>
      <c r="E5" s="2" t="s">
        <v>32</v>
      </c>
    </row>
    <row r="6" spans="1:5" s="10" customFormat="1" x14ac:dyDescent="0.25">
      <c r="D6" s="8" t="s">
        <v>33</v>
      </c>
      <c r="E6" s="9" t="s">
        <v>34</v>
      </c>
    </row>
    <row r="7" spans="1:5" x14ac:dyDescent="0.25">
      <c r="A7" s="23" t="s">
        <v>4</v>
      </c>
      <c r="B7" s="23" t="s">
        <v>5</v>
      </c>
      <c r="C7" s="1"/>
    </row>
    <row r="8" spans="1:5" x14ac:dyDescent="0.25">
      <c r="A8" s="30" t="s">
        <v>27</v>
      </c>
      <c r="B8" s="14" t="str">
        <f>IF(A8="BR","Brasil",IF(A8="BO","Bolivia",IF(A8="EC","Ecuador",IF(A8="PR","Perú"))))</f>
        <v>Brasil</v>
      </c>
      <c r="C8" s="1"/>
    </row>
    <row r="9" spans="1:5" x14ac:dyDescent="0.25">
      <c r="A9" s="24" t="s">
        <v>29</v>
      </c>
      <c r="B9" s="14" t="str">
        <f t="shared" ref="B9:B19" si="0">IF(A9="BR","Brasil",IF(A9="BO","Bolivia",IF(A9="EC","Ecuador",IF(A9="PR","Perú"))))</f>
        <v>Bolivia</v>
      </c>
      <c r="C9" s="1"/>
    </row>
    <row r="10" spans="1:5" x14ac:dyDescent="0.25">
      <c r="A10" s="24" t="s">
        <v>31</v>
      </c>
      <c r="B10" s="14" t="str">
        <f t="shared" si="0"/>
        <v>Ecuador</v>
      </c>
      <c r="C10" s="1"/>
    </row>
    <row r="11" spans="1:5" x14ac:dyDescent="0.25">
      <c r="A11" s="24" t="s">
        <v>33</v>
      </c>
      <c r="B11" s="14" t="str">
        <f t="shared" si="0"/>
        <v>Perú</v>
      </c>
      <c r="C11" s="1"/>
      <c r="D11" s="1"/>
      <c r="E11" s="1"/>
    </row>
    <row r="12" spans="1:5" x14ac:dyDescent="0.25">
      <c r="A12" s="30" t="s">
        <v>27</v>
      </c>
      <c r="B12" s="14" t="str">
        <f t="shared" si="0"/>
        <v>Brasil</v>
      </c>
      <c r="C12" s="1"/>
      <c r="D12" s="1"/>
      <c r="E12" s="1"/>
    </row>
    <row r="13" spans="1:5" x14ac:dyDescent="0.25">
      <c r="A13" s="24" t="s">
        <v>29</v>
      </c>
      <c r="B13" s="14" t="str">
        <f t="shared" si="0"/>
        <v>Bolivia</v>
      </c>
      <c r="C13" s="1"/>
      <c r="D13" s="1"/>
      <c r="E13" s="1"/>
    </row>
    <row r="14" spans="1:5" x14ac:dyDescent="0.25">
      <c r="A14" s="24" t="s">
        <v>31</v>
      </c>
      <c r="B14" s="14" t="str">
        <f t="shared" si="0"/>
        <v>Ecuador</v>
      </c>
      <c r="C14" s="1"/>
      <c r="D14" s="1"/>
      <c r="E14" s="1"/>
    </row>
    <row r="15" spans="1:5" x14ac:dyDescent="0.25">
      <c r="A15" s="24" t="s">
        <v>33</v>
      </c>
      <c r="B15" s="14" t="str">
        <f t="shared" si="0"/>
        <v>Perú</v>
      </c>
      <c r="C15" s="1"/>
      <c r="D15" s="1"/>
      <c r="E15" s="1"/>
    </row>
    <row r="16" spans="1:5" x14ac:dyDescent="0.25">
      <c r="A16" s="30" t="s">
        <v>27</v>
      </c>
      <c r="B16" s="14" t="str">
        <f t="shared" si="0"/>
        <v>Brasil</v>
      </c>
    </row>
    <row r="17" spans="1:2" x14ac:dyDescent="0.25">
      <c r="A17" s="24" t="s">
        <v>29</v>
      </c>
      <c r="B17" s="14" t="str">
        <f t="shared" si="0"/>
        <v>Bolivia</v>
      </c>
    </row>
    <row r="18" spans="1:2" x14ac:dyDescent="0.25">
      <c r="A18" s="24" t="s">
        <v>31</v>
      </c>
      <c r="B18" s="14" t="str">
        <f t="shared" si="0"/>
        <v>Ecuador</v>
      </c>
    </row>
    <row r="19" spans="1:2" x14ac:dyDescent="0.25">
      <c r="A19" s="24" t="s">
        <v>33</v>
      </c>
      <c r="B19" s="14" t="str">
        <f t="shared" si="0"/>
        <v>Perú</v>
      </c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24"/>
  <sheetViews>
    <sheetView showGridLines="0" zoomScale="130" zoomScaleNormal="130" workbookViewId="0">
      <selection activeCell="D21" sqref="D21"/>
    </sheetView>
  </sheetViews>
  <sheetFormatPr baseColWidth="10" defaultColWidth="11.42578125" defaultRowHeight="15" x14ac:dyDescent="0.25"/>
  <cols>
    <col min="1" max="16384" width="11.42578125" style="10"/>
  </cols>
  <sheetData>
    <row r="1" spans="1:5" x14ac:dyDescent="0.25">
      <c r="D1" s="25" t="s">
        <v>4</v>
      </c>
      <c r="E1" s="25" t="s">
        <v>5</v>
      </c>
    </row>
    <row r="2" spans="1:5" x14ac:dyDescent="0.25">
      <c r="D2" s="22" t="s">
        <v>14</v>
      </c>
      <c r="E2" s="22" t="s">
        <v>15</v>
      </c>
    </row>
    <row r="3" spans="1:5" x14ac:dyDescent="0.25">
      <c r="D3" s="22" t="s">
        <v>16</v>
      </c>
      <c r="E3" s="22" t="s">
        <v>17</v>
      </c>
    </row>
    <row r="4" spans="1:5" x14ac:dyDescent="0.25">
      <c r="D4" s="22" t="s">
        <v>18</v>
      </c>
      <c r="E4" s="22" t="s">
        <v>19</v>
      </c>
    </row>
    <row r="5" spans="1:5" x14ac:dyDescent="0.25">
      <c r="A5" s="25" t="s">
        <v>4</v>
      </c>
      <c r="B5" s="25" t="s">
        <v>5</v>
      </c>
      <c r="D5" s="22" t="s">
        <v>21</v>
      </c>
      <c r="E5" s="22" t="s">
        <v>20</v>
      </c>
    </row>
    <row r="6" spans="1:5" x14ac:dyDescent="0.25">
      <c r="A6" s="30" t="s">
        <v>14</v>
      </c>
      <c r="B6" s="14" t="str">
        <f>IF(A6="GU","Guatemala",IF(A6="NI","Nicaragua",IF(A6="SA","Salvador",IF(A6="CR","Costa Rica",IF(A6="HO","Honduras",IF(A6="ME","México",IF(A6="CH","Chile",IF(A6="VE","Venezuela",IF(A6="UR","Uruguay",IF(A6="GY","Guayana"))))))))))</f>
        <v>Guatemala</v>
      </c>
      <c r="D6" s="22" t="s">
        <v>22</v>
      </c>
      <c r="E6" s="22" t="s">
        <v>23</v>
      </c>
    </row>
    <row r="7" spans="1:5" x14ac:dyDescent="0.25">
      <c r="A7" s="22" t="s">
        <v>16</v>
      </c>
      <c r="B7" s="14" t="str">
        <f t="shared" ref="B7:B24" si="0">IF(A7="GU","Guatemala",IF(A7="NI","Nicaragua",IF(A7="SA","Salvador",IF(A7="CR","Costa Rica",IF(A7="HO","Honduras",IF(A7="ME","México",IF(A7="CH","Chile",IF(A7="VE","Venezuela",IF(A7="UR","Uruguay",IF(A7="GY","Guayana"))))))))))</f>
        <v>Nicaragua</v>
      </c>
      <c r="D7" s="22" t="s">
        <v>24</v>
      </c>
      <c r="E7" s="22" t="s">
        <v>11</v>
      </c>
    </row>
    <row r="8" spans="1:5" x14ac:dyDescent="0.25">
      <c r="A8" s="22" t="s">
        <v>18</v>
      </c>
      <c r="B8" s="14" t="str">
        <f t="shared" si="0"/>
        <v>Salvador</v>
      </c>
      <c r="D8" s="22" t="s">
        <v>25</v>
      </c>
      <c r="E8" s="22" t="s">
        <v>26</v>
      </c>
    </row>
    <row r="9" spans="1:5" x14ac:dyDescent="0.25">
      <c r="A9" s="22" t="s">
        <v>21</v>
      </c>
      <c r="B9" s="14" t="str">
        <f t="shared" si="0"/>
        <v>Costa Rica</v>
      </c>
      <c r="D9" s="22" t="s">
        <v>35</v>
      </c>
      <c r="E9" s="22" t="s">
        <v>36</v>
      </c>
    </row>
    <row r="10" spans="1:5" x14ac:dyDescent="0.25">
      <c r="A10" s="22" t="s">
        <v>22</v>
      </c>
      <c r="B10" s="14" t="str">
        <f t="shared" si="0"/>
        <v>Honduras</v>
      </c>
      <c r="D10" s="22" t="s">
        <v>37</v>
      </c>
      <c r="E10" s="22" t="s">
        <v>38</v>
      </c>
    </row>
    <row r="11" spans="1:5" x14ac:dyDescent="0.25">
      <c r="A11" s="22" t="s">
        <v>24</v>
      </c>
      <c r="B11" s="14" t="str">
        <f t="shared" si="0"/>
        <v>México</v>
      </c>
      <c r="D11" s="22" t="s">
        <v>40</v>
      </c>
      <c r="E11" s="22" t="s">
        <v>39</v>
      </c>
    </row>
    <row r="12" spans="1:5" x14ac:dyDescent="0.25">
      <c r="A12" s="22" t="s">
        <v>25</v>
      </c>
      <c r="B12" s="14" t="str">
        <f t="shared" si="0"/>
        <v>Chile</v>
      </c>
    </row>
    <row r="13" spans="1:5" x14ac:dyDescent="0.25">
      <c r="A13" s="22" t="s">
        <v>35</v>
      </c>
      <c r="B13" s="14" t="str">
        <f t="shared" si="0"/>
        <v>Venezuela</v>
      </c>
    </row>
    <row r="14" spans="1:5" x14ac:dyDescent="0.25">
      <c r="A14" s="22" t="s">
        <v>37</v>
      </c>
      <c r="B14" s="14" t="str">
        <f t="shared" si="0"/>
        <v>Uruguay</v>
      </c>
    </row>
    <row r="15" spans="1:5" x14ac:dyDescent="0.25">
      <c r="A15" s="22" t="s">
        <v>40</v>
      </c>
      <c r="B15" s="14" t="str">
        <f t="shared" si="0"/>
        <v>Guayana</v>
      </c>
    </row>
    <row r="16" spans="1:5" x14ac:dyDescent="0.25">
      <c r="A16" s="30" t="s">
        <v>14</v>
      </c>
      <c r="B16" s="14" t="str">
        <f t="shared" si="0"/>
        <v>Guatemala</v>
      </c>
    </row>
    <row r="17" spans="1:2" x14ac:dyDescent="0.25">
      <c r="A17" s="22" t="s">
        <v>16</v>
      </c>
      <c r="B17" s="14" t="str">
        <f t="shared" si="0"/>
        <v>Nicaragua</v>
      </c>
    </row>
    <row r="18" spans="1:2" x14ac:dyDescent="0.25">
      <c r="A18" s="22" t="s">
        <v>18</v>
      </c>
      <c r="B18" s="14" t="str">
        <f t="shared" si="0"/>
        <v>Salvador</v>
      </c>
    </row>
    <row r="19" spans="1:2" x14ac:dyDescent="0.25">
      <c r="A19" s="22" t="s">
        <v>21</v>
      </c>
      <c r="B19" s="14" t="str">
        <f t="shared" si="0"/>
        <v>Costa Rica</v>
      </c>
    </row>
    <row r="20" spans="1:2" x14ac:dyDescent="0.25">
      <c r="A20" s="22" t="s">
        <v>22</v>
      </c>
      <c r="B20" s="14" t="str">
        <f t="shared" si="0"/>
        <v>Honduras</v>
      </c>
    </row>
    <row r="21" spans="1:2" x14ac:dyDescent="0.25">
      <c r="A21" s="22" t="s">
        <v>24</v>
      </c>
      <c r="B21" s="14" t="str">
        <f t="shared" si="0"/>
        <v>México</v>
      </c>
    </row>
    <row r="22" spans="1:2" x14ac:dyDescent="0.25">
      <c r="A22" s="22" t="s">
        <v>25</v>
      </c>
      <c r="B22" s="14" t="str">
        <f t="shared" si="0"/>
        <v>Chile</v>
      </c>
    </row>
    <row r="23" spans="1:2" x14ac:dyDescent="0.25">
      <c r="A23" s="22" t="s">
        <v>35</v>
      </c>
      <c r="B23" s="14" t="str">
        <f t="shared" si="0"/>
        <v>Venezuela</v>
      </c>
    </row>
    <row r="24" spans="1:2" x14ac:dyDescent="0.25">
      <c r="A24" s="22" t="s">
        <v>37</v>
      </c>
      <c r="B24" s="14" t="str">
        <f t="shared" si="0"/>
        <v>Uruguay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1"/>
  <sheetViews>
    <sheetView showGridLines="0" tabSelected="1" zoomScale="180" zoomScaleNormal="180" workbookViewId="0">
      <selection activeCell="E10" sqref="E10"/>
    </sheetView>
  </sheetViews>
  <sheetFormatPr baseColWidth="10" defaultColWidth="11.5703125" defaultRowHeight="15.75" x14ac:dyDescent="0.25"/>
  <cols>
    <col min="1" max="1" width="9.7109375" style="26" bestFit="1" customWidth="1"/>
    <col min="2" max="2" width="7" style="26" customWidth="1"/>
    <col min="3" max="3" width="16.7109375" style="26" bestFit="1" customWidth="1"/>
    <col min="4" max="4" width="5.7109375" style="26" bestFit="1" customWidth="1"/>
    <col min="5" max="5" width="13.140625" style="26" customWidth="1"/>
    <col min="6" max="6" width="17.5703125" style="26" bestFit="1" customWidth="1"/>
    <col min="7" max="16384" width="11.5703125" style="26"/>
  </cols>
  <sheetData>
    <row r="2" spans="1:6" x14ac:dyDescent="0.25">
      <c r="E2" s="31" t="s">
        <v>53</v>
      </c>
      <c r="F2" s="31"/>
    </row>
    <row r="3" spans="1:6" x14ac:dyDescent="0.25">
      <c r="E3" s="27" t="s">
        <v>50</v>
      </c>
      <c r="F3" s="27" t="s">
        <v>43</v>
      </c>
    </row>
    <row r="4" spans="1:6" x14ac:dyDescent="0.25">
      <c r="E4" s="27" t="s">
        <v>51</v>
      </c>
      <c r="F4" s="27" t="s">
        <v>44</v>
      </c>
    </row>
    <row r="6" spans="1:6" x14ac:dyDescent="0.25">
      <c r="A6" s="27" t="s">
        <v>41</v>
      </c>
      <c r="B6" s="27" t="s">
        <v>52</v>
      </c>
      <c r="C6" s="27" t="s">
        <v>42</v>
      </c>
    </row>
    <row r="7" spans="1:6" x14ac:dyDescent="0.25">
      <c r="A7" s="29" t="s">
        <v>45</v>
      </c>
      <c r="B7" s="30">
        <v>60</v>
      </c>
      <c r="C7" s="14" t="str">
        <f>IF(B7&gt;=60,"APROBADO",IF(B7&lt;60,"NO APROBADO"))</f>
        <v>APROBADO</v>
      </c>
    </row>
    <row r="8" spans="1:6" x14ac:dyDescent="0.25">
      <c r="A8" s="29" t="s">
        <v>46</v>
      </c>
      <c r="B8" s="28">
        <v>52</v>
      </c>
      <c r="C8" s="14" t="str">
        <f t="shared" ref="C8:C11" si="0">IF(B8&gt;=60,"APROBADO",IF(B8&lt;60,"NO APROBADO"))</f>
        <v>NO APROBADO</v>
      </c>
    </row>
    <row r="9" spans="1:6" x14ac:dyDescent="0.25">
      <c r="A9" s="29" t="s">
        <v>47</v>
      </c>
      <c r="B9" s="28">
        <v>49</v>
      </c>
      <c r="C9" s="14" t="str">
        <f t="shared" si="0"/>
        <v>NO APROBADO</v>
      </c>
    </row>
    <row r="10" spans="1:6" x14ac:dyDescent="0.25">
      <c r="A10" s="29" t="s">
        <v>48</v>
      </c>
      <c r="B10" s="28">
        <v>90</v>
      </c>
      <c r="C10" s="14" t="str">
        <f t="shared" si="0"/>
        <v>APROBADO</v>
      </c>
    </row>
    <row r="11" spans="1:6" x14ac:dyDescent="0.25">
      <c r="A11" s="29" t="s">
        <v>49</v>
      </c>
      <c r="B11" s="28">
        <v>64</v>
      </c>
      <c r="C11" s="14" t="str">
        <f t="shared" si="0"/>
        <v>APROBADO</v>
      </c>
    </row>
  </sheetData>
  <mergeCells count="1">
    <mergeCell ref="E2:F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Funcion SI-1</vt:lpstr>
      <vt:lpstr>Funcion SI-2</vt:lpstr>
      <vt:lpstr>Funcion SI-3</vt:lpstr>
      <vt:lpstr>Funcion SI-4</vt:lpstr>
      <vt:lpstr>Funcion SI-5</vt:lpstr>
      <vt:lpstr>Funcion SI-SI1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Liceo Compu-Market</cp:lastModifiedBy>
  <dcterms:created xsi:type="dcterms:W3CDTF">2013-02-06T12:19:59Z</dcterms:created>
  <dcterms:modified xsi:type="dcterms:W3CDTF">2019-05-25T23:03:33Z</dcterms:modified>
</cp:coreProperties>
</file>